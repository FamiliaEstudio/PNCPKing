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 Análise 1 a 5" sheetId="1" r:id="rId4"/>
  </sheets>
  <definedNames>
    <definedName localSheetId="1" name="Z_9B6CFE78_A580_4828_804C_B4626061FF68_.wvu.Cols">' Análise 1 a 5'!$E:$F,' Análise 1 a 5'!$I:$I</definedName>
    <definedName localSheetId="0" name="Z_9B6CFE78_A580_4828_804C_B4626061FF68_.wvu.Cols">Observações!$E:$F,Observações!$I:$I</definedName>
  </definedNames>
  <calcPr/>
  <extLst>
    <ext uri="GoogleSheetsCustomDataVersion2">
      <go:sheetsCustomData xmlns:go="http://customooxmlschemas.google.com/" r:id="rId5" roundtripDataChecksum="28EI133nu44UAPyrF6rx6A5dwl1jesU2p70f93Oia2U="/>
    </ext>
  </extLst>
</workbook>
</file>

<file path=xl/sharedStrings.xml><?xml version="1.0" encoding="utf-8"?>
<sst xmlns="http://schemas.openxmlformats.org/spreadsheetml/2006/main" count="31" uniqueCount="17">
  <si>
    <t>PLANILHA DE AVALIAÇÃO DE PREÇOS</t>
  </si>
  <si>
    <t>*</t>
  </si>
  <si>
    <t>{{ item.nome }}</t>
  </si>
  <si>
    <t>EMPRESA</t>
  </si>
  <si>
    <t>CNPJ</t>
  </si>
  <si>
    <t>LINK PNCP</t>
  </si>
  <si>
    <t>VALOR DA COTAÇÃO</t>
  </si>
  <si>
    <t>MÉDIA DOS DEMAIS PREÇOS</t>
  </si>
  <si>
    <t>% EM RELAÇÃO À MÉDIA DOS DEMAIS PREÇOS</t>
  </si>
  <si>
    <r>
      <rPr>
        <rFont val="Arial"/>
        <b val="0"/>
        <color theme="1"/>
        <sz val="11.0"/>
      </rPr>
      <t xml:space="preserve">UTILIZAÇÃO DO MÉTODO DE IDENTIFICAÇÃO DE PREÇO </t>
    </r>
    <r>
      <rPr>
        <rFont val="Arial"/>
        <b/>
        <color theme="1"/>
        <sz val="11.0"/>
      </rPr>
      <t>EXCESSIVO</t>
    </r>
  </si>
  <si>
    <r>
      <rPr>
        <rFont val="Arial"/>
        <b val="0"/>
        <color theme="1"/>
        <sz val="11.0"/>
      </rPr>
      <t>UTILIZAÇÃO DO MÉTODO DE IDENTIFICAÇÃO DE PREÇO</t>
    </r>
    <r>
      <rPr>
        <rFont val="Arial"/>
        <b/>
        <color theme="1"/>
        <sz val="11.0"/>
      </rPr>
      <t xml:space="preserve"> INEXEQUÍVEL</t>
    </r>
  </si>
  <si>
    <t>{{ preco.empresa_nome }}</t>
  </si>
  <si>
    <t>{{ preco.cnpj }}</t>
  </si>
  <si>
    <t>{{ link.pncp }}</t>
  </si>
  <si>
    <t>{{ preco.valor }}</t>
  </si>
  <si>
    <t>&gt;</t>
  </si>
  <si>
    <t>Valor médio dos preços válidos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</si>
</sst>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R$&quot;\ #,##0.0000;\-&quot;R$&quot;\ #,##0.0000"/>
  </numFmts>
  <fonts count="9">
    <font>
      <sz val="10.0"/>
      <color rgb="FF000000"/>
      <name val="Arial"/>
      <scheme val="minor"/>
    </font>
    <font>
      <sz val="10.0"/>
      <color theme="1"/>
      <name val="Arial"/>
    </font>
    <font>
      <b/>
      <sz val="18.0"/>
      <color theme="1"/>
      <name val="Arial"/>
    </font>
    <font/>
    <font>
      <sz val="12.0"/>
      <color theme="1"/>
      <name val="Arial"/>
    </font>
    <font>
      <b/>
      <sz val="12.0"/>
      <color theme="1"/>
      <name val="Arial"/>
    </font>
    <font>
      <b/>
      <sz val="14.0"/>
      <color rgb="FFFF0000"/>
      <name val="Arial"/>
    </font>
    <font>
      <b/>
      <sz val="11.0"/>
      <color theme="1"/>
      <name val="Arial"/>
    </font>
    <font>
      <b/>
      <sz val="14.0"/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D8D8D8"/>
        <bgColor rgb="FFD8D8D8"/>
      </patternFill>
    </fill>
    <fill>
      <patternFill patternType="solid">
        <fgColor rgb="FFD0CECE"/>
        <bgColor rgb="FFD0CECE"/>
      </patternFill>
    </fill>
  </fills>
  <borders count="21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top/>
      <bottom style="medium">
        <color rgb="FF000000"/>
      </bottom>
    </border>
    <border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1" fillId="0" fontId="2" numFmtId="0" xfId="0" applyAlignment="1" applyBorder="1" applyFont="1">
      <alignment horizontal="center" readingOrder="0" vertical="center"/>
    </xf>
    <xf borderId="2" fillId="0" fontId="3" numFmtId="0" xfId="0" applyBorder="1" applyFont="1"/>
    <xf borderId="3" fillId="0" fontId="3" numFmtId="0" xfId="0" applyBorder="1" applyFont="1"/>
    <xf borderId="0" fillId="0" fontId="4" numFmtId="0" xfId="0" applyAlignment="1" applyFont="1">
      <alignment horizontal="center" shrinkToFit="0" vertical="center" wrapText="1"/>
    </xf>
    <xf borderId="0" fillId="0" fontId="4" numFmtId="164" xfId="0" applyAlignment="1" applyFont="1" applyNumberFormat="1">
      <alignment horizontal="center" shrinkToFit="0" vertical="center" wrapText="1"/>
    </xf>
    <xf borderId="0" fillId="0" fontId="4" numFmtId="9" xfId="0" applyAlignment="1" applyFont="1" applyNumberFormat="1">
      <alignment horizontal="center" shrinkToFit="0" vertical="center" wrapText="1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4" fillId="2" fontId="6" numFmtId="0" xfId="0" applyAlignment="1" applyBorder="1" applyFill="1" applyFont="1">
      <alignment horizontal="center" readingOrder="0" shrinkToFit="0" vertical="center" wrapText="1"/>
    </xf>
    <xf borderId="5" fillId="0" fontId="3" numFmtId="0" xfId="0" applyBorder="1" applyFont="1"/>
    <xf borderId="6" fillId="0" fontId="3" numFmtId="0" xfId="0" applyBorder="1" applyFont="1"/>
    <xf borderId="7" fillId="2" fontId="7" numFmtId="0" xfId="0" applyAlignment="1" applyBorder="1" applyFont="1">
      <alignment horizontal="center" shrinkToFit="0" vertical="center" wrapText="1"/>
    </xf>
    <xf borderId="8" fillId="2" fontId="7" numFmtId="0" xfId="0" applyAlignment="1" applyBorder="1" applyFont="1">
      <alignment horizontal="center" shrinkToFit="0" vertical="center" wrapText="1"/>
    </xf>
    <xf borderId="9" fillId="2" fontId="7" numFmtId="0" xfId="0" applyAlignment="1" applyBorder="1" applyFont="1">
      <alignment horizontal="center" readingOrder="0" shrinkToFit="0" vertical="center" wrapText="1"/>
    </xf>
    <xf borderId="10" fillId="2" fontId="7" numFmtId="0" xfId="0" applyAlignment="1" applyBorder="1" applyFont="1">
      <alignment horizontal="center" shrinkToFit="0" vertical="center" wrapText="1"/>
    </xf>
    <xf borderId="11" fillId="2" fontId="7" numFmtId="0" xfId="0" applyAlignment="1" applyBorder="1" applyFont="1">
      <alignment horizontal="center" shrinkToFit="0" vertical="center" wrapText="1"/>
    </xf>
    <xf borderId="7" fillId="0" fontId="4" numFmtId="0" xfId="0" applyAlignment="1" applyBorder="1" applyFont="1">
      <alignment horizontal="left" readingOrder="0" shrinkToFit="0" wrapText="1"/>
    </xf>
    <xf borderId="9" fillId="0" fontId="4" numFmtId="0" xfId="0" applyAlignment="1" applyBorder="1" applyFont="1">
      <alignment horizontal="center" readingOrder="0" shrinkToFit="0" vertical="center" wrapText="1"/>
    </xf>
    <xf borderId="10" fillId="0" fontId="4" numFmtId="164" xfId="0" applyAlignment="1" applyBorder="1" applyFont="1" applyNumberFormat="1">
      <alignment horizontal="center" readingOrder="0" shrinkToFit="0" vertical="center" wrapText="1"/>
    </xf>
    <xf borderId="10" fillId="0" fontId="4" numFmtId="164" xfId="0" applyAlignment="1" applyBorder="1" applyFont="1" applyNumberFormat="1">
      <alignment horizontal="center" shrinkToFit="0" vertical="center" wrapText="1"/>
    </xf>
    <xf borderId="10" fillId="0" fontId="4" numFmtId="9" xfId="0" applyAlignment="1" applyBorder="1" applyFont="1" applyNumberFormat="1">
      <alignment horizontal="center" shrinkToFit="0" vertical="center" wrapText="1"/>
    </xf>
    <xf borderId="10" fillId="0" fontId="5" numFmtId="0" xfId="0" applyAlignment="1" applyBorder="1" applyFont="1">
      <alignment horizontal="center" shrinkToFit="0" vertical="center" wrapText="1"/>
    </xf>
    <xf borderId="11" fillId="0" fontId="5" numFmtId="0" xfId="0" applyAlignment="1" applyBorder="1" applyFont="1">
      <alignment horizontal="center" shrinkToFit="0" vertical="center" wrapText="1"/>
    </xf>
    <xf borderId="12" fillId="0" fontId="4" numFmtId="0" xfId="0" applyAlignment="1" applyBorder="1" applyFont="1">
      <alignment horizontal="left" readingOrder="0" shrinkToFit="0" wrapText="1"/>
    </xf>
    <xf borderId="10" fillId="0" fontId="4" numFmtId="0" xfId="0" applyAlignment="1" applyBorder="1" applyFont="1">
      <alignment horizontal="center" shrinkToFit="0" vertical="center" wrapText="1"/>
    </xf>
    <xf borderId="0" fillId="0" fontId="1" numFmtId="164" xfId="0" applyFont="1" applyNumberFormat="1"/>
    <xf borderId="12" fillId="0" fontId="4" numFmtId="0" xfId="0" applyAlignment="1" applyBorder="1" applyFont="1">
      <alignment horizontal="left" readingOrder="0" shrinkToFit="0" vertical="center" wrapText="1"/>
    </xf>
    <xf borderId="12" fillId="0" fontId="4" numFmtId="0" xfId="0" applyAlignment="1" applyBorder="1" applyFont="1">
      <alignment horizontal="left" shrinkToFit="0" vertical="center" wrapText="1"/>
    </xf>
    <xf borderId="13" fillId="0" fontId="4" numFmtId="0" xfId="0" applyAlignment="1" applyBorder="1" applyFont="1">
      <alignment horizontal="left" shrinkToFit="0" vertical="center" wrapText="1"/>
    </xf>
    <xf borderId="7" fillId="0" fontId="4" numFmtId="0" xfId="0" applyAlignment="1" applyBorder="1" applyFont="1">
      <alignment horizontal="left" shrinkToFit="0" wrapText="1"/>
    </xf>
    <xf borderId="12" fillId="0" fontId="4" numFmtId="0" xfId="0" applyAlignment="1" applyBorder="1" applyFont="1">
      <alignment horizontal="left" shrinkToFit="0" wrapText="1"/>
    </xf>
    <xf borderId="14" fillId="0" fontId="4" numFmtId="0" xfId="0" applyAlignment="1" applyBorder="1" applyFont="1">
      <alignment horizontal="left" shrinkToFit="0" wrapText="1"/>
    </xf>
    <xf borderId="15" fillId="0" fontId="4" numFmtId="0" xfId="0" applyAlignment="1" applyBorder="1" applyFont="1">
      <alignment horizontal="center" shrinkToFit="0" vertical="center" wrapText="1"/>
    </xf>
    <xf borderId="15" fillId="0" fontId="4" numFmtId="164" xfId="0" applyAlignment="1" applyBorder="1" applyFont="1" applyNumberFormat="1">
      <alignment horizontal="center" shrinkToFit="0" vertical="center" wrapText="1"/>
    </xf>
    <xf borderId="15" fillId="0" fontId="4" numFmtId="9" xfId="0" applyAlignment="1" applyBorder="1" applyFont="1" applyNumberFormat="1">
      <alignment horizontal="center" shrinkToFit="0" vertical="center" wrapText="1"/>
    </xf>
    <xf borderId="15" fillId="0" fontId="5" numFmtId="0" xfId="0" applyAlignment="1" applyBorder="1" applyFont="1">
      <alignment horizontal="center" shrinkToFit="0" vertical="center" wrapText="1"/>
    </xf>
    <xf borderId="16" fillId="0" fontId="5" numFmtId="0" xfId="0" applyAlignment="1" applyBorder="1" applyFont="1">
      <alignment horizontal="center" shrinkToFit="0" vertical="center" wrapText="1"/>
    </xf>
    <xf borderId="17" fillId="3" fontId="8" numFmtId="0" xfId="0" applyAlignment="1" applyBorder="1" applyFill="1" applyFont="1">
      <alignment horizontal="center" shrinkToFit="0" vertical="center" wrapText="1"/>
    </xf>
    <xf borderId="18" fillId="3" fontId="8" numFmtId="164" xfId="0" applyAlignment="1" applyBorder="1" applyFont="1" applyNumberFormat="1">
      <alignment horizontal="center" shrinkToFit="0" vertical="center" wrapText="1"/>
    </xf>
    <xf borderId="19" fillId="0" fontId="3" numFmtId="0" xfId="0" applyBorder="1" applyFont="1"/>
    <xf borderId="20" fillId="0" fontId="3" numFmtId="0" xfId="0" applyBorder="1" applyFont="1"/>
  </cellXfs>
  <cellStyles count="1">
    <cellStyle xfId="0" name="Normal" builtinId="0"/>
  </cellStyles>
  <dxfs count="2">
    <dxf>
      <font>
        <color rgb="FFFF0000"/>
      </font>
      <fill>
        <patternFill patternType="none"/>
      </fill>
      <border/>
    </dxf>
    <dxf>
      <font>
        <color rgb="FF548135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209550</xdr:colOff>
      <xdr:row>1</xdr:row>
      <xdr:rowOff>133350</xdr:rowOff>
    </xdr:from>
    <xdr:ext cx="3248025" cy="1885950"/>
    <xdr:pic>
      <xdr:nvPicPr>
        <xdr:cNvPr id="0" name="image1.jp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2.63" defaultRowHeight="15.0"/>
  <cols>
    <col customWidth="1" min="1" max="1" width="6.88"/>
    <col customWidth="1" min="2" max="2" width="76.88"/>
    <col customWidth="1" min="3" max="3" width="28.5"/>
    <col customWidth="1" min="4" max="4" width="45.63"/>
    <col customWidth="1" min="5" max="5" width="20.25"/>
    <col customWidth="1" hidden="1" min="6" max="6" width="20.0"/>
    <col customWidth="1" hidden="1" min="7" max="7" width="25.13"/>
    <col customWidth="1" min="8" max="8" width="25.63"/>
    <col customWidth="1" min="9" max="9" width="27.38"/>
    <col customWidth="1" hidden="1" min="10" max="10" width="9.13"/>
    <col customWidth="1" min="11" max="27" width="9.13"/>
  </cols>
  <sheetData>
    <row r="1" ht="12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ht="180.0" customHeight="1">
      <c r="A2" s="2"/>
      <c r="B2" s="3" t="s">
        <v>0</v>
      </c>
      <c r="C2" s="4"/>
      <c r="D2" s="4"/>
      <c r="E2" s="4"/>
      <c r="F2" s="4"/>
      <c r="G2" s="4"/>
      <c r="H2" s="4"/>
      <c r="I2" s="5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ht="12.75" customHeight="1">
      <c r="A3" s="2"/>
      <c r="B3" s="6"/>
      <c r="C3" s="6"/>
      <c r="D3" s="6"/>
      <c r="E3" s="7"/>
      <c r="F3" s="7"/>
      <c r="G3" s="8"/>
      <c r="H3" s="9"/>
      <c r="I3" s="10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ht="30.0" customHeight="1">
      <c r="A4" s="1" t="s">
        <v>1</v>
      </c>
      <c r="B4" s="11" t="s">
        <v>2</v>
      </c>
      <c r="C4" s="12"/>
      <c r="D4" s="12"/>
      <c r="E4" s="12"/>
      <c r="F4" s="12"/>
      <c r="G4" s="12"/>
      <c r="H4" s="12"/>
      <c r="I4" s="13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ht="12.75" customHeight="1">
      <c r="A5" s="2"/>
      <c r="B5" s="14" t="s">
        <v>3</v>
      </c>
      <c r="C5" s="15" t="s">
        <v>4</v>
      </c>
      <c r="D5" s="16" t="s">
        <v>5</v>
      </c>
      <c r="E5" s="17" t="s">
        <v>6</v>
      </c>
      <c r="F5" s="17" t="s">
        <v>7</v>
      </c>
      <c r="G5" s="17" t="s">
        <v>8</v>
      </c>
      <c r="H5" s="17" t="s">
        <v>9</v>
      </c>
      <c r="I5" s="18" t="s">
        <v>10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ht="12.75" customHeight="1">
      <c r="A6" s="2"/>
      <c r="B6" s="19" t="s">
        <v>11</v>
      </c>
      <c r="C6" s="20" t="s">
        <v>12</v>
      </c>
      <c r="D6" s="20" t="s">
        <v>13</v>
      </c>
      <c r="E6" s="21" t="s">
        <v>14</v>
      </c>
      <c r="F6" s="22" t="str">
        <f>IF(E6="","",SUM(AVERAGE(E7:E22)))</f>
        <v>#DIV/0!</v>
      </c>
      <c r="G6" s="23" t="str">
        <f t="shared" ref="G6:G22" si="1">(E6/F6)-1</f>
        <v>#DIV/0!</v>
      </c>
      <c r="H6" s="24" t="str">
        <f t="shared" ref="H6:H22" si="2">IF(F6="","",IF(G6&gt;0.25,"EXCESSIVO","VÁLIDO"))</f>
        <v>#DIV/0!</v>
      </c>
      <c r="I6" s="25" t="str">
        <f t="shared" ref="I6:I22" si="3">IF(F6="","",IF(G6&lt;-0.25,"INEXEQUÍVEL","VÁLIDO"))</f>
        <v>#DIV/0!</v>
      </c>
      <c r="J6" s="2" t="str">
        <f t="shared" ref="J6:J22" si="4">IF(OR(H6="EXCESSIVO",I6="INEXEQUÍVEL"),"",E6)</f>
        <v>#DIV/0!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ht="12.75" customHeight="1">
      <c r="A7" s="1"/>
      <c r="B7" s="26"/>
      <c r="C7" s="27"/>
      <c r="D7" s="27"/>
      <c r="E7" s="22"/>
      <c r="F7" s="22" t="str">
        <f>IF(E7="","",SUM(AVERAGE(E6,E8:E22)))</f>
        <v/>
      </c>
      <c r="G7" s="23" t="str">
        <f t="shared" si="1"/>
        <v>#DIV/0!</v>
      </c>
      <c r="H7" s="24" t="str">
        <f t="shared" si="2"/>
        <v/>
      </c>
      <c r="I7" s="25" t="str">
        <f t="shared" si="3"/>
        <v/>
      </c>
      <c r="J7" s="28" t="str">
        <f t="shared" si="4"/>
        <v/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ht="12.75" customHeight="1">
      <c r="A8" s="1"/>
      <c r="B8" s="29"/>
      <c r="C8" s="27"/>
      <c r="D8" s="27"/>
      <c r="E8" s="22"/>
      <c r="F8" s="22" t="str">
        <f>IF(E8="","",SUM(AVERAGE(E6:E7,E9:E22)))</f>
        <v/>
      </c>
      <c r="G8" s="23" t="str">
        <f t="shared" si="1"/>
        <v>#DIV/0!</v>
      </c>
      <c r="H8" s="24" t="str">
        <f t="shared" si="2"/>
        <v/>
      </c>
      <c r="I8" s="25" t="str">
        <f t="shared" si="3"/>
        <v/>
      </c>
      <c r="J8" s="28" t="str">
        <f t="shared" si="4"/>
        <v/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ht="12.75" customHeight="1">
      <c r="A9" s="1" t="s">
        <v>15</v>
      </c>
      <c r="B9" s="30"/>
      <c r="C9" s="27"/>
      <c r="D9" s="27"/>
      <c r="E9" s="22"/>
      <c r="F9" s="22" t="str">
        <f>IF(E9="","",SUM(AVERAGE(E6:E8,E10:E22)))</f>
        <v/>
      </c>
      <c r="G9" s="23" t="str">
        <f t="shared" si="1"/>
        <v>#DIV/0!</v>
      </c>
      <c r="H9" s="24" t="str">
        <f t="shared" si="2"/>
        <v/>
      </c>
      <c r="I9" s="25" t="str">
        <f t="shared" si="3"/>
        <v/>
      </c>
      <c r="J9" s="28" t="str">
        <f t="shared" si="4"/>
        <v/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ht="12.75" customHeight="1">
      <c r="A10" s="1" t="s">
        <v>15</v>
      </c>
      <c r="B10" s="30"/>
      <c r="C10" s="27"/>
      <c r="D10" s="27"/>
      <c r="E10" s="22"/>
      <c r="F10" s="22" t="str">
        <f>IF(E10="","",SUM(AVERAGE(E6:E9,E11:E22)))</f>
        <v/>
      </c>
      <c r="G10" s="23" t="str">
        <f t="shared" si="1"/>
        <v>#DIV/0!</v>
      </c>
      <c r="H10" s="24" t="str">
        <f t="shared" si="2"/>
        <v/>
      </c>
      <c r="I10" s="25" t="str">
        <f t="shared" si="3"/>
        <v/>
      </c>
      <c r="J10" s="28" t="str">
        <f t="shared" si="4"/>
        <v/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ht="12.75" customHeight="1">
      <c r="A11" s="1" t="s">
        <v>15</v>
      </c>
      <c r="B11" s="30"/>
      <c r="C11" s="27"/>
      <c r="D11" s="27"/>
      <c r="E11" s="22"/>
      <c r="F11" s="22" t="str">
        <f>IF(E11="","",SUM(AVERAGE(E6:E10,E12:E22)))</f>
        <v/>
      </c>
      <c r="G11" s="23" t="str">
        <f t="shared" si="1"/>
        <v>#DIV/0!</v>
      </c>
      <c r="H11" s="24" t="str">
        <f t="shared" si="2"/>
        <v/>
      </c>
      <c r="I11" s="25" t="str">
        <f t="shared" si="3"/>
        <v/>
      </c>
      <c r="J11" s="28" t="str">
        <f t="shared" si="4"/>
        <v/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ht="12.75" customHeight="1">
      <c r="A12" s="1" t="s">
        <v>15</v>
      </c>
      <c r="B12" s="30"/>
      <c r="C12" s="27"/>
      <c r="D12" s="27"/>
      <c r="E12" s="22"/>
      <c r="F12" s="22" t="str">
        <f>IF(E12="","",SUM(AVERAGE(E6:E11,E13:E22)))</f>
        <v/>
      </c>
      <c r="G12" s="23" t="str">
        <f t="shared" si="1"/>
        <v>#DIV/0!</v>
      </c>
      <c r="H12" s="24" t="str">
        <f t="shared" si="2"/>
        <v/>
      </c>
      <c r="I12" s="25" t="str">
        <f t="shared" si="3"/>
        <v/>
      </c>
      <c r="J12" s="28" t="str">
        <f t="shared" si="4"/>
        <v/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ht="12.75" customHeight="1">
      <c r="A13" s="1" t="s">
        <v>15</v>
      </c>
      <c r="B13" s="30"/>
      <c r="C13" s="27"/>
      <c r="D13" s="27"/>
      <c r="E13" s="22"/>
      <c r="F13" s="22" t="str">
        <f>IF(E13="","",SUM(AVERAGE(E6:E12,E14:E22)))</f>
        <v/>
      </c>
      <c r="G13" s="23" t="str">
        <f t="shared" si="1"/>
        <v>#DIV/0!</v>
      </c>
      <c r="H13" s="24" t="str">
        <f t="shared" si="2"/>
        <v/>
      </c>
      <c r="I13" s="25" t="str">
        <f t="shared" si="3"/>
        <v/>
      </c>
      <c r="J13" s="28" t="str">
        <f t="shared" si="4"/>
        <v/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ht="12.75" customHeight="1">
      <c r="A14" s="1" t="s">
        <v>15</v>
      </c>
      <c r="B14" s="30"/>
      <c r="C14" s="27"/>
      <c r="D14" s="27"/>
      <c r="E14" s="22"/>
      <c r="F14" s="22" t="str">
        <f>IF(E14="","",SUM(AVERAGE(E6:E13,E15:E22)))</f>
        <v/>
      </c>
      <c r="G14" s="23" t="str">
        <f t="shared" si="1"/>
        <v>#DIV/0!</v>
      </c>
      <c r="H14" s="24" t="str">
        <f t="shared" si="2"/>
        <v/>
      </c>
      <c r="I14" s="25" t="str">
        <f t="shared" si="3"/>
        <v/>
      </c>
      <c r="J14" s="28" t="str">
        <f t="shared" si="4"/>
        <v/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ht="12.75" customHeight="1">
      <c r="A15" s="1" t="s">
        <v>15</v>
      </c>
      <c r="B15" s="31"/>
      <c r="C15" s="27"/>
      <c r="D15" s="27"/>
      <c r="E15" s="22"/>
      <c r="F15" s="22" t="str">
        <f>IF(E15="","",SUM(AVERAGE(E6:E14,E16:E22)))</f>
        <v/>
      </c>
      <c r="G15" s="23" t="str">
        <f t="shared" si="1"/>
        <v>#DIV/0!</v>
      </c>
      <c r="H15" s="24" t="str">
        <f t="shared" si="2"/>
        <v/>
      </c>
      <c r="I15" s="25" t="str">
        <f t="shared" si="3"/>
        <v/>
      </c>
      <c r="J15" s="28" t="str">
        <f t="shared" si="4"/>
        <v/>
      </c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ht="12.75" customHeight="1">
      <c r="A16" s="1" t="s">
        <v>15</v>
      </c>
      <c r="B16" s="32"/>
      <c r="C16" s="27"/>
      <c r="D16" s="27"/>
      <c r="E16" s="22"/>
      <c r="F16" s="22" t="str">
        <f>IF(E16="","",SUM(AVERAGE(E6:E15,E17:E22)))</f>
        <v/>
      </c>
      <c r="G16" s="23" t="str">
        <f t="shared" si="1"/>
        <v>#DIV/0!</v>
      </c>
      <c r="H16" s="24" t="str">
        <f t="shared" si="2"/>
        <v/>
      </c>
      <c r="I16" s="25" t="str">
        <f t="shared" si="3"/>
        <v/>
      </c>
      <c r="J16" s="28" t="str">
        <f t="shared" si="4"/>
        <v/>
      </c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ht="12.75" customHeight="1">
      <c r="A17" s="1" t="s">
        <v>15</v>
      </c>
      <c r="B17" s="33"/>
      <c r="C17" s="27"/>
      <c r="D17" s="27"/>
      <c r="E17" s="22"/>
      <c r="F17" s="22" t="str">
        <f>IF(E17="","",SUM(AVERAGE(E6:E16,E18:E22)))</f>
        <v/>
      </c>
      <c r="G17" s="23" t="str">
        <f t="shared" si="1"/>
        <v>#DIV/0!</v>
      </c>
      <c r="H17" s="24" t="str">
        <f t="shared" si="2"/>
        <v/>
      </c>
      <c r="I17" s="25" t="str">
        <f t="shared" si="3"/>
        <v/>
      </c>
      <c r="J17" s="28" t="str">
        <f t="shared" si="4"/>
        <v/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ht="12.75" customHeight="1">
      <c r="A18" s="1" t="s">
        <v>15</v>
      </c>
      <c r="B18" s="33"/>
      <c r="C18" s="27"/>
      <c r="D18" s="27"/>
      <c r="E18" s="22"/>
      <c r="F18" s="22" t="str">
        <f>IF(E18="","",SUM(AVERAGE(E6:E17,E19:E22)))</f>
        <v/>
      </c>
      <c r="G18" s="23" t="str">
        <f t="shared" si="1"/>
        <v>#DIV/0!</v>
      </c>
      <c r="H18" s="24" t="str">
        <f t="shared" si="2"/>
        <v/>
      </c>
      <c r="I18" s="25" t="str">
        <f t="shared" si="3"/>
        <v/>
      </c>
      <c r="J18" s="28" t="str">
        <f t="shared" si="4"/>
        <v/>
      </c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ht="12.75" customHeight="1">
      <c r="A19" s="1" t="s">
        <v>15</v>
      </c>
      <c r="B19" s="33"/>
      <c r="C19" s="27"/>
      <c r="D19" s="27"/>
      <c r="E19" s="22"/>
      <c r="F19" s="22" t="str">
        <f>IF(E19="","",SUM(AVERAGE(E6:E18,E20:E22)))</f>
        <v/>
      </c>
      <c r="G19" s="23" t="str">
        <f t="shared" si="1"/>
        <v>#DIV/0!</v>
      </c>
      <c r="H19" s="24" t="str">
        <f t="shared" si="2"/>
        <v/>
      </c>
      <c r="I19" s="25" t="str">
        <f t="shared" si="3"/>
        <v/>
      </c>
      <c r="J19" s="28" t="str">
        <f t="shared" si="4"/>
        <v/>
      </c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ht="12.75" customHeight="1">
      <c r="A20" s="1" t="s">
        <v>15</v>
      </c>
      <c r="B20" s="33"/>
      <c r="C20" s="27"/>
      <c r="D20" s="27"/>
      <c r="E20" s="22"/>
      <c r="F20" s="22" t="str">
        <f>IF(E20="","",SUM(AVERAGE(E6:E19,E21:E22)))</f>
        <v/>
      </c>
      <c r="G20" s="23" t="str">
        <f t="shared" si="1"/>
        <v>#DIV/0!</v>
      </c>
      <c r="H20" s="24" t="str">
        <f t="shared" si="2"/>
        <v/>
      </c>
      <c r="I20" s="25" t="str">
        <f t="shared" si="3"/>
        <v/>
      </c>
      <c r="J20" s="28" t="str">
        <f t="shared" si="4"/>
        <v/>
      </c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ht="12.75" customHeight="1">
      <c r="A21" s="1" t="s">
        <v>15</v>
      </c>
      <c r="B21" s="33"/>
      <c r="C21" s="27"/>
      <c r="D21" s="27"/>
      <c r="E21" s="22"/>
      <c r="F21" s="22" t="str">
        <f>IF(E21="","",SUM(AVERAGE(E6:E20,E22)))</f>
        <v/>
      </c>
      <c r="G21" s="23" t="str">
        <f t="shared" si="1"/>
        <v>#DIV/0!</v>
      </c>
      <c r="H21" s="24" t="str">
        <f t="shared" si="2"/>
        <v/>
      </c>
      <c r="I21" s="25" t="str">
        <f t="shared" si="3"/>
        <v/>
      </c>
      <c r="J21" s="28" t="str">
        <f t="shared" si="4"/>
        <v/>
      </c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ht="12.75" customHeight="1">
      <c r="A22" s="1" t="s">
        <v>15</v>
      </c>
      <c r="B22" s="34"/>
      <c r="C22" s="35"/>
      <c r="D22" s="35"/>
      <c r="E22" s="36"/>
      <c r="F22" s="36" t="str">
        <f>IF(E22="","",SUM(AVERAGE(E6:E21)))</f>
        <v/>
      </c>
      <c r="G22" s="37" t="str">
        <f t="shared" si="1"/>
        <v>#DIV/0!</v>
      </c>
      <c r="H22" s="38" t="str">
        <f t="shared" si="2"/>
        <v/>
      </c>
      <c r="I22" s="39" t="str">
        <f t="shared" si="3"/>
        <v/>
      </c>
      <c r="J22" s="28" t="str">
        <f t="shared" si="4"/>
        <v/>
      </c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ht="12.75" customHeight="1">
      <c r="A23" s="2"/>
      <c r="B23" s="40" t="s">
        <v>16</v>
      </c>
      <c r="C23" s="41" t="str">
        <f>IF(E6="","",SUM(J6:J22)/COUNTIF(J6:J22,"&gt;0"))</f>
        <v>#DIV/0!</v>
      </c>
      <c r="D23" s="42"/>
      <c r="E23" s="43"/>
      <c r="F23" s="7"/>
      <c r="G23" s="8"/>
      <c r="H23" s="9"/>
      <c r="I23" s="10" t="s">
        <v>1</v>
      </c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ht="12.75" customHeight="1">
      <c r="A24" s="2"/>
      <c r="B24" s="6"/>
      <c r="C24" s="6"/>
      <c r="D24" s="6"/>
      <c r="E24" s="7"/>
      <c r="F24" s="7"/>
      <c r="G24" s="8"/>
      <c r="H24" s="9"/>
      <c r="I24" s="9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ht="23.2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ht="12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ht="12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ht="12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ht="12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ht="12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ht="12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ht="12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ht="12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ht="12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ht="12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ht="12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ht="12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ht="12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ht="12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ht="12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ht="12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ht="12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ht="12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ht="12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ht="12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ht="12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ht="12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ht="12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ht="12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ht="12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ht="12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ht="12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ht="12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ht="12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ht="12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ht="12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ht="12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ht="12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ht="12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ht="12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ht="12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ht="12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ht="12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ht="12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ht="12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ht="12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ht="12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ht="12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ht="12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ht="12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ht="12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ht="12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ht="12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ht="12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ht="12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ht="12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ht="12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ht="12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ht="12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ht="12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ht="12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ht="12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ht="12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ht="12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ht="12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ht="12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ht="12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ht="12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ht="12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ht="12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ht="12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ht="12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ht="12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ht="12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ht="12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ht="12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ht="12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ht="12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ht="12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ht="12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ht="12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ht="12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ht="12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ht="12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ht="12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ht="12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ht="12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ht="12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ht="12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ht="12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ht="12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ht="12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ht="12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ht="12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ht="12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ht="12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ht="12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ht="12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ht="12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ht="12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ht="12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ht="12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ht="12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ht="12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ht="12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ht="12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ht="12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ht="12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ht="12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ht="12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ht="12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ht="12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ht="12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ht="12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ht="12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ht="12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ht="12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ht="12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ht="12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ht="12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ht="12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ht="12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ht="12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ht="12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ht="12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ht="12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ht="12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ht="12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ht="12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ht="12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ht="12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ht="12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ht="12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ht="12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ht="12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ht="12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ht="12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ht="12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ht="12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ht="12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ht="12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ht="12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ht="12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ht="12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ht="12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ht="12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ht="12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ht="12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ht="12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ht="12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ht="12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ht="12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ht="12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ht="12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ht="12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ht="12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ht="12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ht="12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ht="12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ht="12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ht="12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ht="12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ht="12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ht="12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ht="12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ht="12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ht="12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ht="12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ht="12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ht="12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ht="12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ht="12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ht="12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ht="12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ht="12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ht="12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ht="12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ht="12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ht="12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ht="12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ht="12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ht="12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ht="12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ht="12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ht="12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ht="12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ht="12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ht="12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ht="12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ht="12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ht="12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ht="12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ht="12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ht="12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ht="12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ht="12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ht="12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ht="12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ht="12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ht="12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ht="12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ht="12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ht="12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ht="12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ht="12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ht="12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ht="12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ht="12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ht="12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ht="12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ht="12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ht="12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ht="12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ht="12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ht="12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ht="12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ht="12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ht="12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ht="12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ht="12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ht="12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ht="12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ht="12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ht="12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ht="12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ht="12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ht="12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ht="12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ht="12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ht="12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ht="12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ht="12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ht="12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ht="12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ht="12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ht="12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ht="12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ht="12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ht="12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ht="12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ht="12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ht="12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ht="12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ht="12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ht="12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ht="12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ht="12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ht="12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ht="12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ht="12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ht="12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ht="12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ht="12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ht="12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ht="12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ht="12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ht="12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ht="12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ht="12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ht="12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ht="12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ht="12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ht="12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ht="12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ht="12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ht="12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ht="12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ht="12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ht="12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ht="12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ht="12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ht="12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ht="12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ht="12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ht="12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ht="12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ht="12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ht="12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ht="12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ht="12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ht="12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ht="12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ht="12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ht="12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ht="12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ht="12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ht="12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ht="12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ht="12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ht="12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ht="12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ht="12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ht="12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ht="12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ht="12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ht="12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ht="12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ht="12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ht="12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ht="12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ht="12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ht="12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ht="12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ht="12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ht="12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ht="12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ht="12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ht="12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ht="12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ht="12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ht="12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ht="12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ht="12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ht="12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ht="12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ht="12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ht="12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ht="12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ht="12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ht="12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ht="12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ht="12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ht="12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ht="12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ht="12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ht="12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ht="12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ht="12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ht="12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ht="12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ht="12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ht="12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ht="12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ht="12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ht="12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ht="12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ht="12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ht="12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ht="12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ht="12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ht="12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ht="12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ht="12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ht="12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ht="12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ht="12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ht="12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ht="12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ht="12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ht="12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ht="12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ht="12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ht="12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ht="12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ht="12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ht="12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ht="12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ht="12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ht="12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ht="12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ht="12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ht="12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ht="12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ht="12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ht="12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ht="12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ht="12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ht="12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ht="12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ht="12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ht="12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ht="12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ht="12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ht="12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ht="12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ht="12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ht="12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ht="12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ht="12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ht="12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ht="12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ht="12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ht="12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ht="12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ht="12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ht="12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ht="12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ht="12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ht="12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ht="12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ht="12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ht="12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ht="12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ht="12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ht="12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ht="12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ht="12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ht="12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ht="12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ht="12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ht="12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ht="12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ht="12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ht="12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ht="12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ht="12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ht="12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ht="12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ht="12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ht="12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ht="12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ht="12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ht="12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ht="12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ht="12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ht="12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ht="12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ht="12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ht="12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ht="12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ht="12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ht="12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ht="12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ht="12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ht="12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ht="12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ht="12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ht="12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ht="12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ht="12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ht="12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ht="12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ht="12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ht="12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ht="12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ht="12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ht="12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ht="12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ht="12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ht="12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ht="12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ht="12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ht="12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ht="12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ht="12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ht="12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ht="12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ht="12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ht="12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ht="12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ht="12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ht="12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ht="12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ht="12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ht="12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ht="12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ht="12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ht="12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ht="12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ht="12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ht="12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ht="12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ht="12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ht="12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ht="12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ht="12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ht="12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ht="12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ht="12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ht="12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ht="12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ht="12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ht="12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ht="12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ht="12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ht="12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ht="12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ht="12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ht="12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ht="12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ht="12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ht="12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ht="12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ht="12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ht="12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ht="12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ht="12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ht="12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ht="12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ht="12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ht="12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ht="12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ht="12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ht="12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ht="12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ht="12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ht="12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ht="12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ht="12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ht="12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ht="12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ht="12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ht="12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ht="12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ht="12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ht="12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ht="12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ht="12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ht="12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ht="12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ht="12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ht="12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ht="12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ht="12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ht="12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ht="12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ht="12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ht="12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ht="12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ht="12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ht="12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ht="12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ht="12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ht="12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ht="12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ht="12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ht="12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ht="12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ht="12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ht="12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ht="12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ht="12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ht="12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ht="12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ht="12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ht="12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ht="12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ht="12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ht="12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ht="12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ht="12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ht="12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ht="12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ht="12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ht="12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ht="12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ht="12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ht="12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ht="12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ht="12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ht="12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ht="12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ht="12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ht="12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ht="12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ht="12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ht="12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ht="12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ht="12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ht="12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ht="12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ht="12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ht="12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ht="12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ht="12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ht="12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ht="12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ht="12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ht="12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ht="12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ht="12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ht="12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ht="12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ht="12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ht="12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ht="12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ht="12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ht="12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ht="12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ht="12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ht="12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ht="12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ht="12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ht="12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ht="12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ht="12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ht="12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ht="12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ht="12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ht="12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ht="12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ht="12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ht="12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ht="12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ht="12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ht="12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ht="12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ht="12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ht="12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ht="12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ht="12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ht="12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ht="12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ht="12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ht="12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ht="12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ht="12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ht="12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ht="12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ht="12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ht="12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ht="12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ht="12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ht="12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ht="12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ht="12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ht="12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ht="12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ht="12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ht="12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ht="12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ht="12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ht="12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ht="12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ht="12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ht="12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ht="12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ht="12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ht="12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ht="12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ht="12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ht="12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ht="12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ht="12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ht="12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ht="12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ht="12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ht="12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ht="12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ht="12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ht="12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ht="12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ht="12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ht="12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ht="12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ht="12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ht="12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ht="12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ht="12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ht="12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ht="12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ht="12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ht="12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ht="12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ht="12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ht="12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ht="12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ht="12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ht="12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ht="12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ht="12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ht="12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ht="12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ht="12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ht="12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ht="12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ht="12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ht="12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ht="12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ht="12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ht="12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ht="12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ht="12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ht="12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ht="12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ht="12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ht="12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ht="12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ht="12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ht="12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ht="12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ht="12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ht="12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ht="12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ht="12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ht="12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ht="12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ht="12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ht="12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ht="12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ht="12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ht="12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ht="12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ht="12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ht="12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ht="12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ht="12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ht="12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ht="12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ht="12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ht="12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ht="12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ht="12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ht="12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ht="12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ht="12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ht="12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ht="12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ht="12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ht="12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ht="12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ht="12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ht="12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ht="12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ht="12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ht="12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ht="12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ht="12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ht="12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ht="12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ht="12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ht="12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ht="12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ht="12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ht="12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ht="12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ht="12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ht="12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ht="12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ht="12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ht="12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ht="12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ht="12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ht="12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ht="12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ht="12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ht="12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ht="12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ht="12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ht="12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ht="12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ht="12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ht="12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ht="12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ht="12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ht="12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ht="12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ht="12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ht="12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ht="12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ht="12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ht="12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ht="12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ht="12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ht="12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ht="12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ht="12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ht="12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ht="12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ht="12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ht="12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ht="12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ht="12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ht="12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ht="12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ht="12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ht="12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ht="12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ht="12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ht="12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ht="12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ht="12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ht="12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ht="12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ht="12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ht="12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ht="12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ht="12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ht="12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ht="12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ht="12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ht="12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ht="12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ht="12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ht="12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ht="12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ht="12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ht="12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ht="12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ht="12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ht="12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ht="12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ht="12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ht="12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ht="12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ht="12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ht="12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ht="12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ht="12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ht="12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ht="12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ht="12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ht="12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ht="12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ht="12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ht="12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ht="12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ht="12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ht="12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ht="12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ht="12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ht="12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ht="12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ht="12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ht="12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ht="12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ht="12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ht="12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ht="12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ht="12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ht="12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ht="12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ht="12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ht="12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ht="12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ht="12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ht="12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ht="12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ht="12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ht="12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ht="12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ht="12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ht="12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ht="12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ht="12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ht="12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ht="12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ht="12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ht="12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ht="12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ht="12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ht="12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ht="12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ht="12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ht="12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ht="12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ht="12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ht="12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ht="12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ht="12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ht="12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ht="12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ht="12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ht="12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ht="12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ht="12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ht="12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ht="12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ht="12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ht="12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ht="12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ht="12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ht="12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ht="12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ht="12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ht="12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ht="12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ht="12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ht="12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ht="12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ht="12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ht="12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ht="12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ht="12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ht="12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ht="12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ht="12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ht="12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ht="12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ht="12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ht="12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ht="12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ht="12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ht="12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ht="12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ht="12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ht="12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ht="12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ht="12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ht="12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ht="12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ht="12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ht="12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ht="12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ht="12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ht="12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ht="12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</sheetData>
  <mergeCells count="3">
    <mergeCell ref="B2:I2"/>
    <mergeCell ref="B4:I4"/>
    <mergeCell ref="C23:E23"/>
  </mergeCells>
  <conditionalFormatting sqref="H3 H6:H24">
    <cfRule type="containsText" dxfId="0" priority="1" operator="containsText" text="EXCESSIVO">
      <formula>NOT(ISERROR(SEARCH(("EXCESSIVO"),(H3))))</formula>
    </cfRule>
  </conditionalFormatting>
  <conditionalFormatting sqref="H3:I3 H6:I24">
    <cfRule type="containsText" dxfId="1" priority="2" operator="containsText" text="VÁLIDO">
      <formula>NOT(ISERROR(SEARCH(("VÁLIDO"),(H3))))</formula>
    </cfRule>
  </conditionalFormatting>
  <conditionalFormatting sqref="I3 I6:I24">
    <cfRule type="containsText" dxfId="0" priority="3" operator="containsText" text="INEXEQUÍVEL">
      <formula>NOT(ISERROR(SEARCH(("INEXEQUÍVEL"),(I3))))</formula>
    </cfRule>
  </conditionalFormatting>
  <conditionalFormatting sqref="I6:I22">
    <cfRule type="containsText" dxfId="0" priority="4" operator="containsText" text="EXCESSIVO">
      <formula>NOT(ISERROR(SEARCH(("EXCESSIVO"),(I6))))</formula>
    </cfRule>
  </conditionalFormatting>
  <printOptions/>
  <pageMargins bottom="0.787401575" footer="0.0" header="0.0" left="0.511811024" right="0.511811024" top="0.787401575"/>
  <pageSetup fitToHeight="0"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2025-06-16T13:01:22Z</dcterms:created>
  <dc:creator>Karine Lellis Pereira</dc:creator>
</cp:coreProperties>
</file>