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PNCPKing\"/>
    </mc:Choice>
  </mc:AlternateContent>
  <xr:revisionPtr revIDLastSave="0" documentId="13_ncr:1_{8415C350-45B0-494F-BD88-B9E22B6011B2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 Análise 1 a 5" sheetId="1" r:id="rId1"/>
  </sheets>
  <calcPr calcId="191029"/>
  <extLst>
    <ext uri="GoogleSheetsCustomDataVersion2">
      <go:sheetsCustomData xmlns:go="http://customooxmlschemas.google.com/" r:id="rId5" roundtripDataChecksum="28EI133nu44UAPyrF6rx6A5dwl1jesU2p70f93Oia2U="/>
    </ext>
  </extLst>
</workbook>
</file>

<file path=xl/calcChain.xml><?xml version="1.0" encoding="utf-8"?>
<calcChain xmlns="http://schemas.openxmlformats.org/spreadsheetml/2006/main">
  <c r="G22" i="1" l="1"/>
  <c r="J22" i="1" s="1"/>
  <c r="G21" i="1"/>
  <c r="J21" i="1" s="1"/>
  <c r="G20" i="1"/>
  <c r="I20" i="1" s="1"/>
  <c r="G19" i="1"/>
  <c r="J19" i="1" s="1"/>
  <c r="G18" i="1"/>
  <c r="J18" i="1" s="1"/>
  <c r="J17" i="1"/>
  <c r="I17" i="1"/>
  <c r="K17" i="1" s="1"/>
  <c r="G17" i="1"/>
  <c r="H17" i="1" s="1"/>
  <c r="G16" i="1"/>
  <c r="J16" i="1" s="1"/>
  <c r="G15" i="1"/>
  <c r="J15" i="1" s="1"/>
  <c r="G14" i="1"/>
  <c r="I14" i="1" s="1"/>
  <c r="J13" i="1"/>
  <c r="G13" i="1"/>
  <c r="I13" i="1" s="1"/>
  <c r="K13" i="1" s="1"/>
  <c r="G12" i="1"/>
  <c r="J12" i="1" s="1"/>
  <c r="G11" i="1"/>
  <c r="J11" i="1" s="1"/>
  <c r="G10" i="1"/>
  <c r="H10" i="1" s="1"/>
  <c r="G9" i="1"/>
  <c r="J9" i="1" s="1"/>
  <c r="G8" i="1"/>
  <c r="J8" i="1" s="1"/>
  <c r="G7" i="1"/>
  <c r="I7" i="1" s="1"/>
  <c r="G6" i="1"/>
  <c r="J6" i="1" s="1"/>
  <c r="J7" i="1" l="1"/>
  <c r="K7" i="1" s="1"/>
  <c r="J20" i="1"/>
  <c r="K20" i="1" s="1"/>
  <c r="H11" i="1"/>
  <c r="H7" i="1"/>
  <c r="I10" i="1"/>
  <c r="J10" i="1"/>
  <c r="H20" i="1"/>
  <c r="H21" i="1"/>
  <c r="H18" i="1"/>
  <c r="I21" i="1"/>
  <c r="K21" i="1" s="1"/>
  <c r="H15" i="1"/>
  <c r="I18" i="1"/>
  <c r="K18" i="1" s="1"/>
  <c r="H12" i="1"/>
  <c r="I15" i="1"/>
  <c r="K15" i="1" s="1"/>
  <c r="H9" i="1"/>
  <c r="I12" i="1"/>
  <c r="K12" i="1" s="1"/>
  <c r="H22" i="1"/>
  <c r="J14" i="1"/>
  <c r="K14" i="1" s="1"/>
  <c r="H19" i="1"/>
  <c r="I22" i="1"/>
  <c r="K22" i="1" s="1"/>
  <c r="H14" i="1"/>
  <c r="H8" i="1"/>
  <c r="I11" i="1"/>
  <c r="K11" i="1" s="1"/>
  <c r="I8" i="1"/>
  <c r="K8" i="1" s="1"/>
  <c r="H6" i="1"/>
  <c r="I9" i="1"/>
  <c r="K9" i="1" s="1"/>
  <c r="I6" i="1"/>
  <c r="K6" i="1" s="1"/>
  <c r="H16" i="1"/>
  <c r="I19" i="1"/>
  <c r="K19" i="1" s="1"/>
  <c r="H13" i="1"/>
  <c r="I16" i="1"/>
  <c r="K16" i="1" s="1"/>
  <c r="K10" i="1" l="1"/>
  <c r="C23" i="1"/>
</calcChain>
</file>

<file path=xl/sharedStrings.xml><?xml version="1.0" encoding="utf-8"?>
<sst xmlns="http://schemas.openxmlformats.org/spreadsheetml/2006/main" count="35" uniqueCount="21">
  <si>
    <t>PLANILHA DE AVALIAÇÃO DE PREÇOS</t>
  </si>
  <si>
    <t>*</t>
  </si>
  <si>
    <t>{{ item.nome }}</t>
  </si>
  <si>
    <t>EMPRESA</t>
  </si>
  <si>
    <t>CNPJ</t>
  </si>
  <si>
    <t>VALOR DA COTAÇÃO</t>
  </si>
  <si>
    <t>MÉDIA DOS DEMAIS PREÇOS</t>
  </si>
  <si>
    <t>% EM RELAÇÃO À MÉDIA DOS DEMAIS PREÇOS</t>
  </si>
  <si>
    <r>
      <rPr>
        <sz val="11"/>
        <color theme="1"/>
        <rFont val="Arial"/>
      </rPr>
      <t xml:space="preserve">UTILIZAÇÃO DO MÉTODO DE IDENTIFICAÇÃO DE PREÇO </t>
    </r>
    <r>
      <rPr>
        <b/>
        <sz val="11"/>
        <color theme="1"/>
        <rFont val="Arial"/>
      </rPr>
      <t>EXCESSIVO</t>
    </r>
  </si>
  <si>
    <r>
      <rPr>
        <sz val="11"/>
        <color theme="1"/>
        <rFont val="Arial"/>
      </rPr>
      <t>UTILIZAÇÃO DO MÉTODO DE IDENTIFICAÇÃO DE PREÇO</t>
    </r>
    <r>
      <rPr>
        <b/>
        <sz val="11"/>
        <color theme="1"/>
        <rFont val="Arial"/>
      </rPr>
      <t xml:space="preserve"> INEXEQUÍVEL</t>
    </r>
  </si>
  <si>
    <t>{{ preco.cnpj }}</t>
  </si>
  <si>
    <t>{{ preco.valor }}</t>
  </si>
  <si>
    <t>&gt;</t>
  </si>
  <si>
    <t>Valor médio dos preços válidos</t>
  </si>
  <si>
    <t>{{ preco.empresa_nome }} {{da cidade de, Estado de}}</t>
  </si>
  <si>
    <t>Responsável pela cotação:</t>
  </si>
  <si>
    <t>NOME DO USUÁRIO                                                                                                                               AGENTE DE ADMINISTRAÇÃO</t>
  </si>
  <si>
    <t>FONTE DE PESQUISA                                                  IN SEGES Nº 65, ART. 5º</t>
  </si>
  <si>
    <t>{{ Inciso II se do PNCP e Inciso III se da internet }}</t>
  </si>
  <si>
    <t>{{ data.pncp }}</t>
  </si>
  <si>
    <t>DATA HOMOLOGAÇÃO/OBTENÇÃO DOS PREÇOS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</si>
</sst>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00;\-&quot;R$&quot;\ #,##0.0000"/>
  </numFmts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8"/>
      <color theme="1"/>
      <name val="Arial"/>
    </font>
    <font>
      <sz val="10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4"/>
      <color rgb="FFFF0000"/>
      <name val="Arial"/>
    </font>
    <font>
      <b/>
      <sz val="11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i/>
      <sz val="14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wrapText="1"/>
    </xf>
    <xf numFmtId="0" fontId="4" fillId="0" borderId="9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wrapText="1"/>
    </xf>
    <xf numFmtId="0" fontId="4" fillId="0" borderId="10" xfId="0" applyFont="1" applyBorder="1" applyAlignment="1">
      <alignment horizontal="center" vertical="center" wrapText="1"/>
    </xf>
    <xf numFmtId="164" fontId="1" fillId="0" borderId="0" xfId="0" applyNumberFormat="1" applyFont="1"/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9" fontId="4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1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1</xdr:row>
      <xdr:rowOff>133350</xdr:rowOff>
    </xdr:from>
    <xdr:ext cx="3248025" cy="1885950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17"/>
  <sheetViews>
    <sheetView showGridLines="0" tabSelected="1" workbookViewId="0">
      <selection activeCell="E14" sqref="E14"/>
    </sheetView>
  </sheetViews>
  <sheetFormatPr defaultColWidth="12.5703125" defaultRowHeight="15" customHeight="1" x14ac:dyDescent="0.2"/>
  <cols>
    <col min="1" max="1" width="6.85546875" customWidth="1"/>
    <col min="2" max="2" width="76.85546875" customWidth="1"/>
    <col min="3" max="4" width="28.42578125" customWidth="1"/>
    <col min="5" max="5" width="27.140625" customWidth="1"/>
    <col min="6" max="6" width="20.28515625" customWidth="1"/>
    <col min="7" max="7" width="20" hidden="1" customWidth="1"/>
    <col min="8" max="8" width="25.140625" hidden="1" customWidth="1"/>
    <col min="9" max="9" width="25.5703125" customWidth="1"/>
    <col min="10" max="10" width="27.42578125" customWidth="1"/>
    <col min="11" max="11" width="9.140625" hidden="1" customWidth="1"/>
    <col min="12" max="28" width="9.140625" customWidth="1"/>
  </cols>
  <sheetData>
    <row r="1" spans="1:28" ht="12.75" customHeight="1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80" customHeight="1" thickBot="1" x14ac:dyDescent="0.25">
      <c r="A2" s="2"/>
      <c r="B2" s="39" t="s">
        <v>0</v>
      </c>
      <c r="C2" s="40"/>
      <c r="D2" s="40"/>
      <c r="E2" s="40"/>
      <c r="F2" s="40"/>
      <c r="G2" s="40"/>
      <c r="H2" s="40"/>
      <c r="I2" s="40"/>
      <c r="J2" s="4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2.75" customHeight="1" x14ac:dyDescent="0.2">
      <c r="A3" s="2"/>
      <c r="B3" s="3"/>
      <c r="C3" s="3"/>
      <c r="D3" s="3"/>
      <c r="E3" s="3"/>
      <c r="F3" s="4"/>
      <c r="G3" s="4"/>
      <c r="H3" s="5"/>
      <c r="I3" s="6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30" customHeight="1" x14ac:dyDescent="0.2">
      <c r="A4" s="1" t="s">
        <v>1</v>
      </c>
      <c r="B4" s="42" t="s">
        <v>2</v>
      </c>
      <c r="C4" s="43"/>
      <c r="D4" s="43"/>
      <c r="E4" s="43"/>
      <c r="F4" s="43"/>
      <c r="G4" s="43"/>
      <c r="H4" s="43"/>
      <c r="I4" s="43"/>
      <c r="J4" s="4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64.5" customHeight="1" x14ac:dyDescent="0.2">
      <c r="A5" s="2"/>
      <c r="B5" s="8" t="s">
        <v>3</v>
      </c>
      <c r="C5" s="9" t="s">
        <v>4</v>
      </c>
      <c r="D5" s="37" t="s">
        <v>17</v>
      </c>
      <c r="E5" s="52" t="s">
        <v>20</v>
      </c>
      <c r="F5" s="10" t="s">
        <v>5</v>
      </c>
      <c r="G5" s="10" t="s">
        <v>6</v>
      </c>
      <c r="H5" s="10" t="s">
        <v>7</v>
      </c>
      <c r="I5" s="10" t="s">
        <v>8</v>
      </c>
      <c r="J5" s="11" t="s">
        <v>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2.75" customHeight="1" x14ac:dyDescent="0.2">
      <c r="A6" s="2"/>
      <c r="B6" s="12" t="s">
        <v>14</v>
      </c>
      <c r="C6" s="13" t="s">
        <v>10</v>
      </c>
      <c r="D6" s="38" t="s">
        <v>18</v>
      </c>
      <c r="E6" s="13" t="s">
        <v>19</v>
      </c>
      <c r="F6" s="14" t="s">
        <v>11</v>
      </c>
      <c r="G6" s="15" t="e">
        <f>IF(F6="","",SUM(AVERAGE(F7:F22)))</f>
        <v>#DIV/0!</v>
      </c>
      <c r="H6" s="16" t="e">
        <f t="shared" ref="H6:H22" si="0">(F6/G6)-1</f>
        <v>#VALUE!</v>
      </c>
      <c r="I6" s="17" t="e">
        <f t="shared" ref="I6:I22" si="1">IF(G6="","",IF(H6&gt;0.25,"EXCESSIVO","VÁLIDO"))</f>
        <v>#DIV/0!</v>
      </c>
      <c r="J6" s="18" t="e">
        <f t="shared" ref="J6:J22" si="2">IF(G6="","",IF(H6&lt;-0.25,"INEXEQUÍVEL","VÁLIDO"))</f>
        <v>#DIV/0!</v>
      </c>
      <c r="K6" s="2" t="e">
        <f t="shared" ref="K6:K22" si="3">IF(OR(I6="EXCESSIVO",J6="INEXEQUÍVEL"),"",F6)</f>
        <v>#DIV/0!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2.75" customHeight="1" x14ac:dyDescent="0.2">
      <c r="A7" s="1"/>
      <c r="B7" s="19"/>
      <c r="C7" s="20"/>
      <c r="D7" s="20"/>
      <c r="E7" s="20"/>
      <c r="F7" s="15"/>
      <c r="G7" s="15" t="str">
        <f>IF(F7="","",SUM(AVERAGE(F6,F8:F22)))</f>
        <v/>
      </c>
      <c r="H7" s="16" t="e">
        <f t="shared" si="0"/>
        <v>#VALUE!</v>
      </c>
      <c r="I7" s="17" t="str">
        <f t="shared" si="1"/>
        <v/>
      </c>
      <c r="J7" s="18" t="str">
        <f t="shared" si="2"/>
        <v/>
      </c>
      <c r="K7" s="21">
        <f t="shared" si="3"/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2.75" customHeight="1" x14ac:dyDescent="0.2">
      <c r="A8" s="1"/>
      <c r="B8" s="22"/>
      <c r="C8" s="20"/>
      <c r="D8" s="20"/>
      <c r="E8" s="20"/>
      <c r="F8" s="15"/>
      <c r="G8" s="15" t="str">
        <f>IF(F8="","",SUM(AVERAGE(F6:F7,F9:F22)))</f>
        <v/>
      </c>
      <c r="H8" s="16" t="e">
        <f t="shared" si="0"/>
        <v>#VALUE!</v>
      </c>
      <c r="I8" s="17" t="str">
        <f t="shared" si="1"/>
        <v/>
      </c>
      <c r="J8" s="18" t="str">
        <f t="shared" si="2"/>
        <v/>
      </c>
      <c r="K8" s="21">
        <f t="shared" si="3"/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2.75" customHeight="1" x14ac:dyDescent="0.2">
      <c r="A9" s="1" t="s">
        <v>12</v>
      </c>
      <c r="B9" s="23"/>
      <c r="C9" s="20"/>
      <c r="D9" s="20"/>
      <c r="E9" s="20"/>
      <c r="F9" s="15"/>
      <c r="G9" s="15" t="str">
        <f>IF(F9="","",SUM(AVERAGE(F6:F8,F10:F22)))</f>
        <v/>
      </c>
      <c r="H9" s="16" t="e">
        <f t="shared" si="0"/>
        <v>#VALUE!</v>
      </c>
      <c r="I9" s="17" t="str">
        <f t="shared" si="1"/>
        <v/>
      </c>
      <c r="J9" s="18" t="str">
        <f t="shared" si="2"/>
        <v/>
      </c>
      <c r="K9" s="21">
        <f t="shared" si="3"/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2.75" customHeight="1" x14ac:dyDescent="0.2">
      <c r="A10" s="1" t="s">
        <v>12</v>
      </c>
      <c r="B10" s="23"/>
      <c r="C10" s="20"/>
      <c r="D10" s="20"/>
      <c r="E10" s="20"/>
      <c r="F10" s="15"/>
      <c r="G10" s="15" t="str">
        <f>IF(F10="","",SUM(AVERAGE(F6:F9,F11:F22)))</f>
        <v/>
      </c>
      <c r="H10" s="16" t="e">
        <f t="shared" si="0"/>
        <v>#VALUE!</v>
      </c>
      <c r="I10" s="17" t="str">
        <f t="shared" si="1"/>
        <v/>
      </c>
      <c r="J10" s="18" t="str">
        <f t="shared" si="2"/>
        <v/>
      </c>
      <c r="K10" s="21">
        <f t="shared" si="3"/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2.75" customHeight="1" x14ac:dyDescent="0.2">
      <c r="A11" s="1" t="s">
        <v>12</v>
      </c>
      <c r="B11" s="23"/>
      <c r="C11" s="20"/>
      <c r="D11" s="20"/>
      <c r="E11" s="20"/>
      <c r="F11" s="15"/>
      <c r="G11" s="15" t="str">
        <f>IF(F11="","",SUM(AVERAGE(F6:F10,F12:F22)))</f>
        <v/>
      </c>
      <c r="H11" s="16" t="e">
        <f t="shared" si="0"/>
        <v>#VALUE!</v>
      </c>
      <c r="I11" s="17" t="str">
        <f t="shared" si="1"/>
        <v/>
      </c>
      <c r="J11" s="18" t="str">
        <f t="shared" si="2"/>
        <v/>
      </c>
      <c r="K11" s="21">
        <f t="shared" si="3"/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2.75" customHeight="1" x14ac:dyDescent="0.2">
      <c r="A12" s="1" t="s">
        <v>12</v>
      </c>
      <c r="B12" s="23"/>
      <c r="C12" s="20"/>
      <c r="D12" s="20"/>
      <c r="E12" s="20"/>
      <c r="F12" s="15"/>
      <c r="G12" s="15" t="str">
        <f>IF(F12="","",SUM(AVERAGE(F6:F11,F13:F22)))</f>
        <v/>
      </c>
      <c r="H12" s="16" t="e">
        <f t="shared" si="0"/>
        <v>#VALUE!</v>
      </c>
      <c r="I12" s="17" t="str">
        <f t="shared" si="1"/>
        <v/>
      </c>
      <c r="J12" s="18" t="str">
        <f t="shared" si="2"/>
        <v/>
      </c>
      <c r="K12" s="21">
        <f t="shared" si="3"/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2.75" customHeight="1" x14ac:dyDescent="0.2">
      <c r="A13" s="1" t="s">
        <v>12</v>
      </c>
      <c r="B13" s="23"/>
      <c r="C13" s="20"/>
      <c r="D13" s="20"/>
      <c r="E13" s="20"/>
      <c r="F13" s="15"/>
      <c r="G13" s="15" t="str">
        <f>IF(F13="","",SUM(AVERAGE(F6:F12,F14:F22)))</f>
        <v/>
      </c>
      <c r="H13" s="16" t="e">
        <f t="shared" si="0"/>
        <v>#VALUE!</v>
      </c>
      <c r="I13" s="17" t="str">
        <f t="shared" si="1"/>
        <v/>
      </c>
      <c r="J13" s="18" t="str">
        <f t="shared" si="2"/>
        <v/>
      </c>
      <c r="K13" s="21">
        <f t="shared" si="3"/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2.75" customHeight="1" x14ac:dyDescent="0.2">
      <c r="A14" s="1" t="s">
        <v>12</v>
      </c>
      <c r="B14" s="23"/>
      <c r="C14" s="20"/>
      <c r="D14" s="20"/>
      <c r="E14" s="20"/>
      <c r="F14" s="15"/>
      <c r="G14" s="15" t="str">
        <f>IF(F14="","",SUM(AVERAGE(F6:F13,F15:F22)))</f>
        <v/>
      </c>
      <c r="H14" s="16" t="e">
        <f t="shared" si="0"/>
        <v>#VALUE!</v>
      </c>
      <c r="I14" s="17" t="str">
        <f t="shared" si="1"/>
        <v/>
      </c>
      <c r="J14" s="18" t="str">
        <f t="shared" si="2"/>
        <v/>
      </c>
      <c r="K14" s="21">
        <f t="shared" si="3"/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2.75" customHeight="1" x14ac:dyDescent="0.2">
      <c r="A15" s="1" t="s">
        <v>12</v>
      </c>
      <c r="B15" s="24"/>
      <c r="C15" s="20"/>
      <c r="D15" s="20"/>
      <c r="E15" s="20"/>
      <c r="F15" s="15"/>
      <c r="G15" s="15" t="str">
        <f>IF(F15="","",SUM(AVERAGE(F6:F14,F16:F22)))</f>
        <v/>
      </c>
      <c r="H15" s="16" t="e">
        <f t="shared" si="0"/>
        <v>#VALUE!</v>
      </c>
      <c r="I15" s="17" t="str">
        <f t="shared" si="1"/>
        <v/>
      </c>
      <c r="J15" s="18" t="str">
        <f t="shared" si="2"/>
        <v/>
      </c>
      <c r="K15" s="21">
        <f t="shared" si="3"/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2.75" customHeight="1" x14ac:dyDescent="0.2">
      <c r="A16" s="1" t="s">
        <v>12</v>
      </c>
      <c r="B16" s="25"/>
      <c r="C16" s="20"/>
      <c r="D16" s="20"/>
      <c r="E16" s="20"/>
      <c r="F16" s="15"/>
      <c r="G16" s="15" t="str">
        <f>IF(F16="","",SUM(AVERAGE(F6:F15,F17:F22)))</f>
        <v/>
      </c>
      <c r="H16" s="16" t="e">
        <f t="shared" si="0"/>
        <v>#VALUE!</v>
      </c>
      <c r="I16" s="17" t="str">
        <f t="shared" si="1"/>
        <v/>
      </c>
      <c r="J16" s="18" t="str">
        <f t="shared" si="2"/>
        <v/>
      </c>
      <c r="K16" s="21">
        <f t="shared" si="3"/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2.75" customHeight="1" x14ac:dyDescent="0.2">
      <c r="A17" s="1" t="s">
        <v>12</v>
      </c>
      <c r="B17" s="26"/>
      <c r="C17" s="20"/>
      <c r="D17" s="20"/>
      <c r="E17" s="20"/>
      <c r="F17" s="15"/>
      <c r="G17" s="15" t="str">
        <f>IF(F17="","",SUM(AVERAGE(F6:F16,F18:F22)))</f>
        <v/>
      </c>
      <c r="H17" s="16" t="e">
        <f t="shared" si="0"/>
        <v>#VALUE!</v>
      </c>
      <c r="I17" s="17" t="str">
        <f t="shared" si="1"/>
        <v/>
      </c>
      <c r="J17" s="18" t="str">
        <f t="shared" si="2"/>
        <v/>
      </c>
      <c r="K17" s="21">
        <f t="shared" si="3"/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2.75" customHeight="1" x14ac:dyDescent="0.2">
      <c r="A18" s="1" t="s">
        <v>12</v>
      </c>
      <c r="B18" s="26"/>
      <c r="C18" s="20"/>
      <c r="D18" s="20"/>
      <c r="E18" s="20"/>
      <c r="F18" s="15"/>
      <c r="G18" s="15" t="str">
        <f>IF(F18="","",SUM(AVERAGE(F6:F17,F19:F22)))</f>
        <v/>
      </c>
      <c r="H18" s="16" t="e">
        <f t="shared" si="0"/>
        <v>#VALUE!</v>
      </c>
      <c r="I18" s="17" t="str">
        <f t="shared" si="1"/>
        <v/>
      </c>
      <c r="J18" s="18" t="str">
        <f t="shared" si="2"/>
        <v/>
      </c>
      <c r="K18" s="21">
        <f t="shared" si="3"/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2.75" customHeight="1" x14ac:dyDescent="0.2">
      <c r="A19" s="1" t="s">
        <v>12</v>
      </c>
      <c r="B19" s="26"/>
      <c r="C19" s="20"/>
      <c r="D19" s="20"/>
      <c r="E19" s="20"/>
      <c r="F19" s="15"/>
      <c r="G19" s="15" t="str">
        <f>IF(F19="","",SUM(AVERAGE(F6:F18,F20:F22)))</f>
        <v/>
      </c>
      <c r="H19" s="16" t="e">
        <f t="shared" si="0"/>
        <v>#VALUE!</v>
      </c>
      <c r="I19" s="17" t="str">
        <f t="shared" si="1"/>
        <v/>
      </c>
      <c r="J19" s="18" t="str">
        <f t="shared" si="2"/>
        <v/>
      </c>
      <c r="K19" s="21">
        <f t="shared" si="3"/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2.75" customHeight="1" x14ac:dyDescent="0.2">
      <c r="A20" s="1" t="s">
        <v>12</v>
      </c>
      <c r="B20" s="26"/>
      <c r="C20" s="20"/>
      <c r="D20" s="20"/>
      <c r="E20" s="20"/>
      <c r="F20" s="15"/>
      <c r="G20" s="15" t="str">
        <f>IF(F20="","",SUM(AVERAGE(F6:F19,F21:F22)))</f>
        <v/>
      </c>
      <c r="H20" s="16" t="e">
        <f t="shared" si="0"/>
        <v>#VALUE!</v>
      </c>
      <c r="I20" s="17" t="str">
        <f t="shared" si="1"/>
        <v/>
      </c>
      <c r="J20" s="18" t="str">
        <f t="shared" si="2"/>
        <v/>
      </c>
      <c r="K20" s="21">
        <f t="shared" si="3"/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2.75" customHeight="1" x14ac:dyDescent="0.2">
      <c r="A21" s="1" t="s">
        <v>12</v>
      </c>
      <c r="B21" s="26"/>
      <c r="C21" s="20"/>
      <c r="D21" s="20"/>
      <c r="E21" s="20"/>
      <c r="F21" s="15"/>
      <c r="G21" s="15" t="str">
        <f>IF(F21="","",SUM(AVERAGE(F6:F20,F22)))</f>
        <v/>
      </c>
      <c r="H21" s="16" t="e">
        <f t="shared" si="0"/>
        <v>#VALUE!</v>
      </c>
      <c r="I21" s="17" t="str">
        <f t="shared" si="1"/>
        <v/>
      </c>
      <c r="J21" s="18" t="str">
        <f t="shared" si="2"/>
        <v/>
      </c>
      <c r="K21" s="21">
        <f t="shared" si="3"/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2.75" customHeight="1" x14ac:dyDescent="0.2">
      <c r="A22" s="1" t="s">
        <v>12</v>
      </c>
      <c r="B22" s="27"/>
      <c r="C22" s="28"/>
      <c r="D22" s="28"/>
      <c r="E22" s="28"/>
      <c r="F22" s="29"/>
      <c r="G22" s="29" t="str">
        <f>IF(F22="","",SUM(AVERAGE(F6:F21)))</f>
        <v/>
      </c>
      <c r="H22" s="30" t="e">
        <f t="shared" si="0"/>
        <v>#VALUE!</v>
      </c>
      <c r="I22" s="31" t="str">
        <f t="shared" si="1"/>
        <v/>
      </c>
      <c r="J22" s="32" t="str">
        <f t="shared" si="2"/>
        <v/>
      </c>
      <c r="K22" s="21">
        <f t="shared" si="3"/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2.75" customHeight="1" x14ac:dyDescent="0.2">
      <c r="A23" s="2"/>
      <c r="B23" s="33" t="s">
        <v>13</v>
      </c>
      <c r="C23" s="45" t="e">
        <f>IF(F6="","",SUM(K6:K22)/COUNTIF(K6:K22,"&gt;0"))</f>
        <v>#DIV/0!</v>
      </c>
      <c r="D23" s="46"/>
      <c r="E23" s="47"/>
      <c r="F23" s="48"/>
      <c r="G23" s="4"/>
      <c r="H23" s="5"/>
      <c r="I23" s="6"/>
      <c r="J23" s="7" t="s">
        <v>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2.75" customHeight="1" thickBot="1" x14ac:dyDescent="0.25">
      <c r="A24" s="2"/>
      <c r="B24" s="3"/>
      <c r="C24" s="3"/>
      <c r="D24" s="3"/>
      <c r="E24" s="3"/>
      <c r="F24" s="4"/>
      <c r="G24" s="4"/>
      <c r="H24" s="5"/>
      <c r="I24" s="6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77.25" customHeight="1" thickTop="1" thickBot="1" x14ac:dyDescent="0.25">
      <c r="A25" s="34"/>
      <c r="B25" s="35" t="s">
        <v>15</v>
      </c>
      <c r="C25" s="49" t="s">
        <v>16</v>
      </c>
      <c r="D25" s="50"/>
      <c r="E25" s="50"/>
      <c r="F25" s="50"/>
      <c r="G25" s="50"/>
      <c r="H25" s="50"/>
      <c r="I25" s="51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2"/>
    </row>
    <row r="26" spans="1:28" ht="12.75" customHeight="1" thickTop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</sheetData>
  <mergeCells count="4">
    <mergeCell ref="B2:J2"/>
    <mergeCell ref="B4:J4"/>
    <mergeCell ref="C23:F23"/>
    <mergeCell ref="C25:I25"/>
  </mergeCells>
  <conditionalFormatting sqref="I3 I6:I24">
    <cfRule type="containsText" dxfId="3" priority="1" operator="containsText" text="EXCESSIVO">
      <formula>NOT(ISERROR(SEARCH(("EXCESSIVO"),(I3))))</formula>
    </cfRule>
  </conditionalFormatting>
  <conditionalFormatting sqref="I3:J3 I6:J24">
    <cfRule type="containsText" dxfId="2" priority="2" operator="containsText" text="VÁLIDO">
      <formula>NOT(ISERROR(SEARCH(("VÁLIDO"),(I3))))</formula>
    </cfRule>
  </conditionalFormatting>
  <conditionalFormatting sqref="J3 J6:J24">
    <cfRule type="containsText" dxfId="1" priority="3" operator="containsText" text="INEXEQUÍVEL">
      <formula>NOT(ISERROR(SEARCH(("INEXEQUÍVEL"),(J3))))</formula>
    </cfRule>
  </conditionalFormatting>
  <conditionalFormatting sqref="J6:J22">
    <cfRule type="containsText" dxfId="0" priority="4" operator="containsText" text="EXCESSIVO">
      <formula>NOT(ISERROR(SEARCH(("EXCESSIVO"),(J6))))</formula>
    </cfRule>
  </conditionalFormatting>
  <pageMargins left="0.511811024" right="0.511811024" top="0.78740157499999996" bottom="0.78740157499999996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Análise 1 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Lellis Pereira</dc:creator>
  <cp:lastModifiedBy>Usuario</cp:lastModifiedBy>
  <dcterms:created xsi:type="dcterms:W3CDTF">2025-06-16T13:01:22Z</dcterms:created>
  <dcterms:modified xsi:type="dcterms:W3CDTF">2026-09-10T11:04:27Z</dcterms:modified>
</cp:coreProperties>
</file>